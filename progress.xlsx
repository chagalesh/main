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sc\Updating Files\"/>
    </mc:Choice>
  </mc:AlternateContent>
  <xr:revisionPtr revIDLastSave="0" documentId="13_ncr:1_{762E1160-BCD1-4DBA-8A92-922A87723065}" xr6:coauthVersionLast="45" xr6:coauthVersionMax="45" xr10:uidLastSave="{00000000-0000-0000-0000-000000000000}"/>
  <bookViews>
    <workbookView xWindow="-120" yWindow="-120" windowWidth="29040" windowHeight="15840" xr2:uid="{3F3B4C19-D553-4223-9D3C-0E082513581F}"/>
  </bookViews>
  <sheets>
    <sheet name="Progres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2" l="1"/>
  <c r="D3" i="2"/>
  <c r="C3" i="2"/>
  <c r="B3" i="2"/>
  <c r="D23" i="2"/>
  <c r="C23" i="2"/>
  <c r="B23" i="2"/>
  <c r="C43" i="2"/>
  <c r="D43" i="2"/>
  <c r="B43" i="2"/>
  <c r="C62" i="2"/>
  <c r="D62" i="2" s="1"/>
  <c r="C61" i="2"/>
  <c r="D61" i="2" s="1"/>
  <c r="C60" i="2"/>
  <c r="D60" i="2" s="1"/>
  <c r="C59" i="2"/>
  <c r="D59" i="2" s="1"/>
  <c r="C58" i="2"/>
  <c r="D58" i="2" s="1"/>
  <c r="C57" i="2"/>
  <c r="D57" i="2" s="1"/>
  <c r="C56" i="2"/>
  <c r="D56" i="2" s="1"/>
  <c r="C55" i="2"/>
  <c r="D55" i="2" s="1"/>
  <c r="C54" i="2"/>
  <c r="D54" i="2" s="1"/>
  <c r="C53" i="2"/>
  <c r="D53" i="2" s="1"/>
  <c r="C52" i="2"/>
  <c r="D52" i="2" s="1"/>
  <c r="C51" i="2"/>
  <c r="D51" i="2" s="1"/>
  <c r="C50" i="2"/>
  <c r="D50" i="2" s="1"/>
  <c r="C49" i="2"/>
  <c r="D49" i="2" s="1"/>
  <c r="C48" i="2"/>
  <c r="D48" i="2" s="1"/>
  <c r="C47" i="2"/>
  <c r="D47" i="2" s="1"/>
  <c r="C46" i="2"/>
  <c r="D46" i="2" s="1"/>
  <c r="C45" i="2"/>
  <c r="D45" i="2" s="1"/>
  <c r="C44" i="2"/>
  <c r="D44" i="2" s="1"/>
  <c r="C42" i="2"/>
  <c r="D42" i="2" s="1"/>
  <c r="C41" i="2"/>
  <c r="D41" i="2" s="1"/>
  <c r="C40" i="2"/>
  <c r="D40" i="2" s="1"/>
  <c r="C39" i="2"/>
  <c r="D39" i="2" s="1"/>
  <c r="C38" i="2"/>
  <c r="D38" i="2" s="1"/>
  <c r="C37" i="2"/>
  <c r="D37" i="2" s="1"/>
  <c r="C36" i="2"/>
  <c r="D36" i="2" s="1"/>
  <c r="C35" i="2"/>
  <c r="D35" i="2" s="1"/>
  <c r="C34" i="2"/>
  <c r="D34" i="2" s="1"/>
  <c r="C33" i="2"/>
  <c r="D33" i="2" s="1"/>
  <c r="C32" i="2"/>
  <c r="D32" i="2" s="1"/>
  <c r="C31" i="2"/>
  <c r="D31" i="2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4" i="2"/>
</calcChain>
</file>

<file path=xl/sharedStrings.xml><?xml version="1.0" encoding="utf-8"?>
<sst xmlns="http://schemas.openxmlformats.org/spreadsheetml/2006/main" count="65" uniqueCount="27">
  <si>
    <t>Open Storage Area</t>
  </si>
  <si>
    <t>Salvage Area</t>
  </si>
  <si>
    <t>Warehouse Area</t>
  </si>
  <si>
    <t>NIB</t>
  </si>
  <si>
    <t>NHT</t>
  </si>
  <si>
    <t>CCR</t>
  </si>
  <si>
    <t>Bensat Unit</t>
  </si>
  <si>
    <t>Air Compression System Unit</t>
  </si>
  <si>
    <t>Flare Unit</t>
  </si>
  <si>
    <t>Cooling Water Unit</t>
  </si>
  <si>
    <t>Storage Tanks</t>
  </si>
  <si>
    <t>Interconnection</t>
  </si>
  <si>
    <t>Firefighting System</t>
  </si>
  <si>
    <t>API separator and sanitary sewer system</t>
  </si>
  <si>
    <t>Substation</t>
  </si>
  <si>
    <t>Control Room</t>
  </si>
  <si>
    <t>API separator and sanitary sewer system Unit</t>
  </si>
  <si>
    <t>Process &amp; Utility Area</t>
  </si>
  <si>
    <t>Open Storage, Warehouses &amp; NIB</t>
  </si>
  <si>
    <t>درصد برنامه ای</t>
  </si>
  <si>
    <t>درصد واقعی</t>
  </si>
  <si>
    <t>شرح</t>
  </si>
  <si>
    <t>کل پروژه</t>
  </si>
  <si>
    <t>اجرا</t>
  </si>
  <si>
    <t>پیش راه اندازی</t>
  </si>
  <si>
    <t>راه اندازی</t>
  </si>
  <si>
    <t>انحراف از برنامه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</si>
</sst>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1E293B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F1F5F9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center" indent="2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left" vertical="center"/>
    </xf>
    <xf numFmtId="10" fontId="0" fillId="0" borderId="0" xfId="1" applyNumberFormat="1" applyFont="1" applyAlignment="1">
      <alignment horizontal="center" vertical="center"/>
    </xf>
    <xf numFmtId="10" fontId="0" fillId="2" borderId="0" xfId="1" applyNumberFormat="1" applyFont="1" applyFill="1" applyAlignment="1">
      <alignment horizontal="center" vertical="center"/>
    </xf>
    <xf numFmtId="10" fontId="0" fillId="3" borderId="0" xfId="1" applyNumberFormat="1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F142-B94A-410B-A6EA-73CCAF372488}">
  <dimension ref="A1:G62"/>
  <sheetViews>
    <sheetView tabSelected="1" topLeftCell="A13" workbookViewId="0">
      <selection activeCell="G1" sqref="G1:G1048576"/>
    </sheetView>
  </sheetViews>
  <sheetFormatPr defaultRowHeight="15" x14ac:dyDescent="0.25"/>
  <cols>
    <col min="1" max="1" width="44.42578125" style="3" bestFit="1" customWidth="1"/>
    <col min="2" max="4" width="12.85546875" style="2" customWidth="1"/>
  </cols>
  <sheetData>
    <row r="1" spans="1:7" x14ac:dyDescent="0.25">
      <c r="A1" s="5" t="s">
        <v>21</v>
      </c>
      <c r="B1" s="2" t="s">
        <v>19</v>
      </c>
      <c r="C1" s="2" t="s">
        <v>20</v>
      </c>
      <c r="D1" s="2" t="s">
        <v>26</v>
      </c>
    </row>
    <row r="2" spans="1:7" x14ac:dyDescent="0.25">
      <c r="A2" s="6" t="s">
        <v>22</v>
      </c>
      <c r="B2" s="9">
        <v>0.81</v>
      </c>
      <c r="C2" s="9">
        <v>0.72</v>
      </c>
      <c r="D2" s="9">
        <f t="shared" ref="D2:D3" si="0">AVERAGE(D3:D21)</f>
        <v>7.4999999999999956E-2</v>
      </c>
    </row>
    <row r="3" spans="1:7" x14ac:dyDescent="0.25">
      <c r="A3" s="4" t="s">
        <v>23</v>
      </c>
      <c r="B3" s="8">
        <f>AVERAGE(B4:B22)</f>
        <v>0.81465796038998273</v>
      </c>
      <c r="C3" s="8">
        <f t="shared" ref="C3" si="1">AVERAGE(C4:C22)</f>
        <v>0.7396579603899831</v>
      </c>
      <c r="D3" s="8">
        <f t="shared" si="0"/>
        <v>7.4999999999999956E-2</v>
      </c>
    </row>
    <row r="4" spans="1:7" ht="15.75" thickBot="1" x14ac:dyDescent="0.3">
      <c r="A4" s="1" t="s">
        <v>7</v>
      </c>
      <c r="B4" s="7">
        <v>0.87554555284536162</v>
      </c>
      <c r="C4" s="7">
        <f>B4-7.5%</f>
        <v>0.80054555284536166</v>
      </c>
      <c r="D4" s="7">
        <f>B4-C4</f>
        <v>7.4999999999999956E-2</v>
      </c>
      <c r="G4" s="10"/>
    </row>
    <row r="5" spans="1:7" ht="15.75" thickBot="1" x14ac:dyDescent="0.3">
      <c r="A5" s="1" t="s">
        <v>13</v>
      </c>
      <c r="B5" s="7">
        <v>0.89078259828829187</v>
      </c>
      <c r="C5" s="7">
        <f t="shared" ref="C5:C22" si="2">B5-7.5%</f>
        <v>0.81578259828829192</v>
      </c>
      <c r="D5" s="7">
        <f t="shared" ref="D5:D22" si="3">B5-C5</f>
        <v>7.4999999999999956E-2</v>
      </c>
      <c r="G5" s="11"/>
    </row>
    <row r="6" spans="1:7" ht="15.75" thickBot="1" x14ac:dyDescent="0.3">
      <c r="A6" s="1" t="s">
        <v>16</v>
      </c>
      <c r="B6" s="7">
        <v>0.87234705419971936</v>
      </c>
      <c r="C6" s="7">
        <f t="shared" si="2"/>
        <v>0.79734705419971941</v>
      </c>
      <c r="D6" s="7">
        <f t="shared" si="3"/>
        <v>7.4999999999999956E-2</v>
      </c>
      <c r="G6" s="11"/>
    </row>
    <row r="7" spans="1:7" ht="15.75" thickBot="1" x14ac:dyDescent="0.3">
      <c r="A7" s="1" t="s">
        <v>6</v>
      </c>
      <c r="B7" s="7">
        <v>0.992392182035996</v>
      </c>
      <c r="C7" s="7">
        <f t="shared" si="2"/>
        <v>0.91739218203599604</v>
      </c>
      <c r="D7" s="7">
        <f t="shared" si="3"/>
        <v>7.4999999999999956E-2</v>
      </c>
      <c r="G7" s="11"/>
    </row>
    <row r="8" spans="1:7" ht="15.75" thickBot="1" x14ac:dyDescent="0.3">
      <c r="A8" s="1" t="s">
        <v>5</v>
      </c>
      <c r="B8" s="7">
        <v>0.97694468321256211</v>
      </c>
      <c r="C8" s="7">
        <f t="shared" si="2"/>
        <v>0.90194468321256216</v>
      </c>
      <c r="D8" s="7">
        <f t="shared" si="3"/>
        <v>7.4999999999999956E-2</v>
      </c>
      <c r="G8" s="11"/>
    </row>
    <row r="9" spans="1:7" ht="15.75" thickBot="1" x14ac:dyDescent="0.3">
      <c r="A9" s="1" t="s">
        <v>15</v>
      </c>
      <c r="B9" s="7">
        <v>0.87630112493188972</v>
      </c>
      <c r="C9" s="7">
        <f t="shared" si="2"/>
        <v>0.80130112493188976</v>
      </c>
      <c r="D9" s="7">
        <f t="shared" si="3"/>
        <v>7.4999999999999956E-2</v>
      </c>
      <c r="G9" s="11"/>
    </row>
    <row r="10" spans="1:7" ht="15.75" thickBot="1" x14ac:dyDescent="0.3">
      <c r="A10" s="1" t="s">
        <v>9</v>
      </c>
      <c r="B10" s="7">
        <v>0.98580624615181733</v>
      </c>
      <c r="C10" s="7">
        <f t="shared" si="2"/>
        <v>0.91080624615181738</v>
      </c>
      <c r="D10" s="7">
        <f t="shared" si="3"/>
        <v>7.4999999999999956E-2</v>
      </c>
      <c r="G10" s="11"/>
    </row>
    <row r="11" spans="1:7" ht="15.75" thickBot="1" x14ac:dyDescent="0.3">
      <c r="A11" s="1" t="s">
        <v>12</v>
      </c>
      <c r="B11" s="7">
        <v>0.43574815363013486</v>
      </c>
      <c r="C11" s="7">
        <f t="shared" si="2"/>
        <v>0.36074815363013485</v>
      </c>
      <c r="D11" s="7">
        <f t="shared" si="3"/>
        <v>7.5000000000000011E-2</v>
      </c>
      <c r="G11" s="11"/>
    </row>
    <row r="12" spans="1:7" ht="15.75" thickBot="1" x14ac:dyDescent="0.3">
      <c r="A12" s="1" t="s">
        <v>8</v>
      </c>
      <c r="B12" s="7">
        <v>0.85395938609532018</v>
      </c>
      <c r="C12" s="7">
        <f t="shared" si="2"/>
        <v>0.77895938609532023</v>
      </c>
      <c r="D12" s="7">
        <f t="shared" si="3"/>
        <v>7.4999999999999956E-2</v>
      </c>
      <c r="G12" s="11"/>
    </row>
    <row r="13" spans="1:7" ht="15.75" thickBot="1" x14ac:dyDescent="0.3">
      <c r="A13" s="1" t="s">
        <v>11</v>
      </c>
      <c r="B13" s="7">
        <v>0.90101844770273853</v>
      </c>
      <c r="C13" s="7">
        <f t="shared" si="2"/>
        <v>0.82601844770273858</v>
      </c>
      <c r="D13" s="7">
        <f t="shared" si="3"/>
        <v>7.4999999999999956E-2</v>
      </c>
      <c r="G13" s="11"/>
    </row>
    <row r="14" spans="1:7" ht="15.75" thickBot="1" x14ac:dyDescent="0.3">
      <c r="A14" s="1" t="s">
        <v>4</v>
      </c>
      <c r="B14" s="7">
        <v>0.89460526029970344</v>
      </c>
      <c r="C14" s="7">
        <f t="shared" si="2"/>
        <v>0.81960526029970349</v>
      </c>
      <c r="D14" s="7">
        <f t="shared" si="3"/>
        <v>7.4999999999999956E-2</v>
      </c>
      <c r="G14" s="11"/>
    </row>
    <row r="15" spans="1:7" ht="15.75" thickBot="1" x14ac:dyDescent="0.3">
      <c r="A15" s="1" t="s">
        <v>3</v>
      </c>
      <c r="B15" s="7">
        <v>0.92536833478995517</v>
      </c>
      <c r="C15" s="7">
        <f t="shared" si="2"/>
        <v>0.85036833478995522</v>
      </c>
      <c r="D15" s="7">
        <f t="shared" si="3"/>
        <v>7.4999999999999956E-2</v>
      </c>
      <c r="G15" s="11"/>
    </row>
    <row r="16" spans="1:7" ht="15.75" thickBot="1" x14ac:dyDescent="0.3">
      <c r="A16" s="1" t="s">
        <v>0</v>
      </c>
      <c r="B16" s="7">
        <v>0.80960322797372131</v>
      </c>
      <c r="C16" s="7">
        <f t="shared" si="2"/>
        <v>0.73460322797372135</v>
      </c>
      <c r="D16" s="7">
        <f t="shared" si="3"/>
        <v>7.4999999999999956E-2</v>
      </c>
      <c r="G16" s="11"/>
    </row>
    <row r="17" spans="1:7" ht="15.75" thickBot="1" x14ac:dyDescent="0.3">
      <c r="A17" s="1" t="s">
        <v>18</v>
      </c>
      <c r="B17" s="7">
        <v>0.23121566317502223</v>
      </c>
      <c r="C17" s="7">
        <f t="shared" si="2"/>
        <v>0.15621566317502222</v>
      </c>
      <c r="D17" s="7">
        <f t="shared" si="3"/>
        <v>7.5000000000000011E-2</v>
      </c>
      <c r="G17" s="11"/>
    </row>
    <row r="18" spans="1:7" ht="15.75" thickBot="1" x14ac:dyDescent="0.3">
      <c r="A18" s="1" t="s">
        <v>17</v>
      </c>
      <c r="B18" s="7">
        <v>0.91429844861651</v>
      </c>
      <c r="C18" s="7">
        <f t="shared" si="2"/>
        <v>0.83929844861651004</v>
      </c>
      <c r="D18" s="7">
        <f t="shared" si="3"/>
        <v>7.4999999999999956E-2</v>
      </c>
      <c r="G18" s="11"/>
    </row>
    <row r="19" spans="1:7" ht="15.75" thickBot="1" x14ac:dyDescent="0.3">
      <c r="A19" s="1" t="s">
        <v>1</v>
      </c>
      <c r="B19" s="7">
        <v>0.83256488346093338</v>
      </c>
      <c r="C19" s="7">
        <f t="shared" si="2"/>
        <v>0.75756488346093342</v>
      </c>
      <c r="D19" s="7">
        <f t="shared" si="3"/>
        <v>7.4999999999999956E-2</v>
      </c>
      <c r="G19" s="11"/>
    </row>
    <row r="20" spans="1:7" ht="15.75" thickBot="1" x14ac:dyDescent="0.3">
      <c r="A20" s="1" t="s">
        <v>10</v>
      </c>
      <c r="B20" s="7">
        <v>0.75</v>
      </c>
      <c r="C20" s="7">
        <f t="shared" si="2"/>
        <v>0.67500000000000004</v>
      </c>
      <c r="D20" s="7">
        <f t="shared" si="3"/>
        <v>7.4999999999999956E-2</v>
      </c>
      <c r="G20" s="11"/>
    </row>
    <row r="21" spans="1:7" ht="15.75" thickBot="1" x14ac:dyDescent="0.3">
      <c r="A21" s="1" t="s">
        <v>14</v>
      </c>
      <c r="B21" s="7">
        <v>0.68</v>
      </c>
      <c r="C21" s="7">
        <f t="shared" si="2"/>
        <v>0.60500000000000009</v>
      </c>
      <c r="D21" s="7">
        <f t="shared" si="3"/>
        <v>7.4999999999999956E-2</v>
      </c>
      <c r="G21" s="11"/>
    </row>
    <row r="22" spans="1:7" x14ac:dyDescent="0.25">
      <c r="A22" s="1" t="s">
        <v>2</v>
      </c>
      <c r="B22" s="7">
        <v>0.78</v>
      </c>
      <c r="C22" s="7">
        <f t="shared" si="2"/>
        <v>0.70500000000000007</v>
      </c>
      <c r="D22" s="7">
        <f t="shared" si="3"/>
        <v>7.4999999999999956E-2</v>
      </c>
      <c r="G22" s="11"/>
    </row>
    <row r="23" spans="1:7" x14ac:dyDescent="0.25">
      <c r="A23" s="4" t="s">
        <v>24</v>
      </c>
      <c r="B23" s="8">
        <f>AVERAGE(B24:B42)</f>
        <v>0.81465796038998273</v>
      </c>
      <c r="C23" s="8">
        <f t="shared" ref="C23" si="4">AVERAGE(C24:C42)</f>
        <v>0.7396579603899831</v>
      </c>
      <c r="D23" s="8">
        <f t="shared" ref="D23" si="5">AVERAGE(D24:D42)</f>
        <v>7.4999999999999956E-2</v>
      </c>
    </row>
    <row r="24" spans="1:7" x14ac:dyDescent="0.25">
      <c r="A24" s="1" t="s">
        <v>7</v>
      </c>
      <c r="B24" s="7">
        <v>0.87554555284536162</v>
      </c>
      <c r="C24" s="7">
        <f>B24-7.5%</f>
        <v>0.80054555284536166</v>
      </c>
      <c r="D24" s="7">
        <f>B24-C24</f>
        <v>7.4999999999999956E-2</v>
      </c>
    </row>
    <row r="25" spans="1:7" x14ac:dyDescent="0.25">
      <c r="A25" s="1" t="s">
        <v>13</v>
      </c>
      <c r="B25" s="7">
        <v>0.89078259828829187</v>
      </c>
      <c r="C25" s="7">
        <f t="shared" ref="C25:C42" si="6">B25-7.5%</f>
        <v>0.81578259828829192</v>
      </c>
      <c r="D25" s="7">
        <f t="shared" ref="D25:D42" si="7">B25-C25</f>
        <v>7.4999999999999956E-2</v>
      </c>
    </row>
    <row r="26" spans="1:7" x14ac:dyDescent="0.25">
      <c r="A26" s="1" t="s">
        <v>16</v>
      </c>
      <c r="B26" s="7">
        <v>0.87234705419971936</v>
      </c>
      <c r="C26" s="7">
        <f t="shared" si="6"/>
        <v>0.79734705419971941</v>
      </c>
      <c r="D26" s="7">
        <f t="shared" si="7"/>
        <v>7.4999999999999956E-2</v>
      </c>
    </row>
    <row r="27" spans="1:7" x14ac:dyDescent="0.25">
      <c r="A27" s="1" t="s">
        <v>6</v>
      </c>
      <c r="B27" s="7">
        <v>0.992392182035996</v>
      </c>
      <c r="C27" s="7">
        <f t="shared" si="6"/>
        <v>0.91739218203599604</v>
      </c>
      <c r="D27" s="7">
        <f t="shared" si="7"/>
        <v>7.4999999999999956E-2</v>
      </c>
    </row>
    <row r="28" spans="1:7" x14ac:dyDescent="0.25">
      <c r="A28" s="1" t="s">
        <v>5</v>
      </c>
      <c r="B28" s="7">
        <v>0.97694468321256211</v>
      </c>
      <c r="C28" s="7">
        <f t="shared" si="6"/>
        <v>0.90194468321256216</v>
      </c>
      <c r="D28" s="7">
        <f t="shared" si="7"/>
        <v>7.4999999999999956E-2</v>
      </c>
    </row>
    <row r="29" spans="1:7" x14ac:dyDescent="0.25">
      <c r="A29" s="1" t="s">
        <v>15</v>
      </c>
      <c r="B29" s="7">
        <v>0.87630112493188972</v>
      </c>
      <c r="C29" s="7">
        <f t="shared" si="6"/>
        <v>0.80130112493188976</v>
      </c>
      <c r="D29" s="7">
        <f t="shared" si="7"/>
        <v>7.4999999999999956E-2</v>
      </c>
    </row>
    <row r="30" spans="1:7" x14ac:dyDescent="0.25">
      <c r="A30" s="1" t="s">
        <v>9</v>
      </c>
      <c r="B30" s="7">
        <v>0.98580624615181733</v>
      </c>
      <c r="C30" s="7">
        <f t="shared" si="6"/>
        <v>0.91080624615181738</v>
      </c>
      <c r="D30" s="7">
        <f t="shared" si="7"/>
        <v>7.4999999999999956E-2</v>
      </c>
    </row>
    <row r="31" spans="1:7" x14ac:dyDescent="0.25">
      <c r="A31" s="1" t="s">
        <v>12</v>
      </c>
      <c r="B31" s="7">
        <v>0.43574815363013486</v>
      </c>
      <c r="C31" s="7">
        <f t="shared" si="6"/>
        <v>0.36074815363013485</v>
      </c>
      <c r="D31" s="7">
        <f t="shared" si="7"/>
        <v>7.5000000000000011E-2</v>
      </c>
    </row>
    <row r="32" spans="1:7" x14ac:dyDescent="0.25">
      <c r="A32" s="1" t="s">
        <v>8</v>
      </c>
      <c r="B32" s="7">
        <v>0.85395938609532018</v>
      </c>
      <c r="C32" s="7">
        <f t="shared" si="6"/>
        <v>0.77895938609532023</v>
      </c>
      <c r="D32" s="7">
        <f t="shared" si="7"/>
        <v>7.4999999999999956E-2</v>
      </c>
    </row>
    <row r="33" spans="1:4" x14ac:dyDescent="0.25">
      <c r="A33" s="1" t="s">
        <v>11</v>
      </c>
      <c r="B33" s="7">
        <v>0.90101844770273853</v>
      </c>
      <c r="C33" s="7">
        <f t="shared" si="6"/>
        <v>0.82601844770273858</v>
      </c>
      <c r="D33" s="7">
        <f t="shared" si="7"/>
        <v>7.4999999999999956E-2</v>
      </c>
    </row>
    <row r="34" spans="1:4" x14ac:dyDescent="0.25">
      <c r="A34" s="1" t="s">
        <v>4</v>
      </c>
      <c r="B34" s="7">
        <v>0.89460526029970344</v>
      </c>
      <c r="C34" s="7">
        <f t="shared" si="6"/>
        <v>0.81960526029970349</v>
      </c>
      <c r="D34" s="7">
        <f t="shared" si="7"/>
        <v>7.4999999999999956E-2</v>
      </c>
    </row>
    <row r="35" spans="1:4" x14ac:dyDescent="0.25">
      <c r="A35" s="1" t="s">
        <v>3</v>
      </c>
      <c r="B35" s="7">
        <v>0.92536833478995517</v>
      </c>
      <c r="C35" s="7">
        <f t="shared" si="6"/>
        <v>0.85036833478995522</v>
      </c>
      <c r="D35" s="7">
        <f t="shared" si="7"/>
        <v>7.4999999999999956E-2</v>
      </c>
    </row>
    <row r="36" spans="1:4" x14ac:dyDescent="0.25">
      <c r="A36" s="1" t="s">
        <v>0</v>
      </c>
      <c r="B36" s="7">
        <v>0.80960322797372131</v>
      </c>
      <c r="C36" s="7">
        <f t="shared" si="6"/>
        <v>0.73460322797372135</v>
      </c>
      <c r="D36" s="7">
        <f t="shared" si="7"/>
        <v>7.4999999999999956E-2</v>
      </c>
    </row>
    <row r="37" spans="1:4" x14ac:dyDescent="0.25">
      <c r="A37" s="1" t="s">
        <v>18</v>
      </c>
      <c r="B37" s="7">
        <v>0.23121566317502223</v>
      </c>
      <c r="C37" s="7">
        <f t="shared" si="6"/>
        <v>0.15621566317502222</v>
      </c>
      <c r="D37" s="7">
        <f t="shared" si="7"/>
        <v>7.5000000000000011E-2</v>
      </c>
    </row>
    <row r="38" spans="1:4" x14ac:dyDescent="0.25">
      <c r="A38" s="1" t="s">
        <v>17</v>
      </c>
      <c r="B38" s="7">
        <v>0.91429844861651</v>
      </c>
      <c r="C38" s="7">
        <f t="shared" si="6"/>
        <v>0.83929844861651004</v>
      </c>
      <c r="D38" s="7">
        <f t="shared" si="7"/>
        <v>7.4999999999999956E-2</v>
      </c>
    </row>
    <row r="39" spans="1:4" x14ac:dyDescent="0.25">
      <c r="A39" s="1" t="s">
        <v>1</v>
      </c>
      <c r="B39" s="7">
        <v>0.83256488346093338</v>
      </c>
      <c r="C39" s="7">
        <f t="shared" si="6"/>
        <v>0.75756488346093342</v>
      </c>
      <c r="D39" s="7">
        <f t="shared" si="7"/>
        <v>7.4999999999999956E-2</v>
      </c>
    </row>
    <row r="40" spans="1:4" x14ac:dyDescent="0.25">
      <c r="A40" s="1" t="s">
        <v>10</v>
      </c>
      <c r="B40" s="7">
        <v>0.75</v>
      </c>
      <c r="C40" s="7">
        <f t="shared" si="6"/>
        <v>0.67500000000000004</v>
      </c>
      <c r="D40" s="7">
        <f t="shared" si="7"/>
        <v>7.4999999999999956E-2</v>
      </c>
    </row>
    <row r="41" spans="1:4" x14ac:dyDescent="0.25">
      <c r="A41" s="1" t="s">
        <v>14</v>
      </c>
      <c r="B41" s="7">
        <v>0.68</v>
      </c>
      <c r="C41" s="7">
        <f t="shared" si="6"/>
        <v>0.60500000000000009</v>
      </c>
      <c r="D41" s="7">
        <f t="shared" si="7"/>
        <v>7.4999999999999956E-2</v>
      </c>
    </row>
    <row r="42" spans="1:4" x14ac:dyDescent="0.25">
      <c r="A42" s="1" t="s">
        <v>2</v>
      </c>
      <c r="B42" s="7">
        <v>0.78</v>
      </c>
      <c r="C42" s="7">
        <f t="shared" si="6"/>
        <v>0.70500000000000007</v>
      </c>
      <c r="D42" s="7">
        <f t="shared" si="7"/>
        <v>7.4999999999999956E-2</v>
      </c>
    </row>
    <row r="43" spans="1:4" x14ac:dyDescent="0.25">
      <c r="A43" s="4" t="s">
        <v>25</v>
      </c>
      <c r="B43" s="8">
        <f>AVERAGE(B44:B62)</f>
        <v>0.81465796038998273</v>
      </c>
      <c r="C43" s="8">
        <f t="shared" ref="C43:D43" si="8">AVERAGE(C44:C62)</f>
        <v>0.7396579603899831</v>
      </c>
      <c r="D43" s="8">
        <f t="shared" si="8"/>
        <v>7.4999999999999956E-2</v>
      </c>
    </row>
    <row r="44" spans="1:4" x14ac:dyDescent="0.25">
      <c r="A44" s="1" t="s">
        <v>7</v>
      </c>
      <c r="B44" s="7">
        <v>0.87554555284536162</v>
      </c>
      <c r="C44" s="7">
        <f>B44-7.5%</f>
        <v>0.80054555284536166</v>
      </c>
      <c r="D44" s="7">
        <f>B44-C44</f>
        <v>7.4999999999999956E-2</v>
      </c>
    </row>
    <row r="45" spans="1:4" x14ac:dyDescent="0.25">
      <c r="A45" s="1" t="s">
        <v>13</v>
      </c>
      <c r="B45" s="7">
        <v>0.89078259828829187</v>
      </c>
      <c r="C45" s="7">
        <f t="shared" ref="C45:C62" si="9">B45-7.5%</f>
        <v>0.81578259828829192</v>
      </c>
      <c r="D45" s="7">
        <f t="shared" ref="D45:D62" si="10">B45-C45</f>
        <v>7.4999999999999956E-2</v>
      </c>
    </row>
    <row r="46" spans="1:4" x14ac:dyDescent="0.25">
      <c r="A46" s="1" t="s">
        <v>16</v>
      </c>
      <c r="B46" s="7">
        <v>0.87234705419971936</v>
      </c>
      <c r="C46" s="7">
        <f t="shared" si="9"/>
        <v>0.79734705419971941</v>
      </c>
      <c r="D46" s="7">
        <f t="shared" si="10"/>
        <v>7.4999999999999956E-2</v>
      </c>
    </row>
    <row r="47" spans="1:4" x14ac:dyDescent="0.25">
      <c r="A47" s="1" t="s">
        <v>6</v>
      </c>
      <c r="B47" s="7">
        <v>0.992392182035996</v>
      </c>
      <c r="C47" s="7">
        <f t="shared" si="9"/>
        <v>0.91739218203599604</v>
      </c>
      <c r="D47" s="7">
        <f t="shared" si="10"/>
        <v>7.4999999999999956E-2</v>
      </c>
    </row>
    <row r="48" spans="1:4" x14ac:dyDescent="0.25">
      <c r="A48" s="1" t="s">
        <v>5</v>
      </c>
      <c r="B48" s="7">
        <v>0.97694468321256211</v>
      </c>
      <c r="C48" s="7">
        <f t="shared" si="9"/>
        <v>0.90194468321256216</v>
      </c>
      <c r="D48" s="7">
        <f t="shared" si="10"/>
        <v>7.4999999999999956E-2</v>
      </c>
    </row>
    <row r="49" spans="1:4" x14ac:dyDescent="0.25">
      <c r="A49" s="1" t="s">
        <v>15</v>
      </c>
      <c r="B49" s="7">
        <v>0.87630112493188972</v>
      </c>
      <c r="C49" s="7">
        <f t="shared" si="9"/>
        <v>0.80130112493188976</v>
      </c>
      <c r="D49" s="7">
        <f t="shared" si="10"/>
        <v>7.4999999999999956E-2</v>
      </c>
    </row>
    <row r="50" spans="1:4" x14ac:dyDescent="0.25">
      <c r="A50" s="1" t="s">
        <v>9</v>
      </c>
      <c r="B50" s="7">
        <v>0.98580624615181733</v>
      </c>
      <c r="C50" s="7">
        <f t="shared" si="9"/>
        <v>0.91080624615181738</v>
      </c>
      <c r="D50" s="7">
        <f t="shared" si="10"/>
        <v>7.4999999999999956E-2</v>
      </c>
    </row>
    <row r="51" spans="1:4" x14ac:dyDescent="0.25">
      <c r="A51" s="1" t="s">
        <v>12</v>
      </c>
      <c r="B51" s="7">
        <v>0.43574815363013486</v>
      </c>
      <c r="C51" s="7">
        <f t="shared" si="9"/>
        <v>0.36074815363013485</v>
      </c>
      <c r="D51" s="7">
        <f t="shared" si="10"/>
        <v>7.5000000000000011E-2</v>
      </c>
    </row>
    <row r="52" spans="1:4" x14ac:dyDescent="0.25">
      <c r="A52" s="1" t="s">
        <v>8</v>
      </c>
      <c r="B52" s="7">
        <v>0.85395938609532018</v>
      </c>
      <c r="C52" s="7">
        <f t="shared" si="9"/>
        <v>0.77895938609532023</v>
      </c>
      <c r="D52" s="7">
        <f t="shared" si="10"/>
        <v>7.4999999999999956E-2</v>
      </c>
    </row>
    <row r="53" spans="1:4" x14ac:dyDescent="0.25">
      <c r="A53" s="1" t="s">
        <v>11</v>
      </c>
      <c r="B53" s="7">
        <v>0.90101844770273853</v>
      </c>
      <c r="C53" s="7">
        <f t="shared" si="9"/>
        <v>0.82601844770273858</v>
      </c>
      <c r="D53" s="7">
        <f t="shared" si="10"/>
        <v>7.4999999999999956E-2</v>
      </c>
    </row>
    <row r="54" spans="1:4" x14ac:dyDescent="0.25">
      <c r="A54" s="1" t="s">
        <v>4</v>
      </c>
      <c r="B54" s="7">
        <v>0.89460526029970344</v>
      </c>
      <c r="C54" s="7">
        <f t="shared" si="9"/>
        <v>0.81960526029970349</v>
      </c>
      <c r="D54" s="7">
        <f t="shared" si="10"/>
        <v>7.4999999999999956E-2</v>
      </c>
    </row>
    <row r="55" spans="1:4" x14ac:dyDescent="0.25">
      <c r="A55" s="1" t="s">
        <v>3</v>
      </c>
      <c r="B55" s="7">
        <v>0.92536833478995517</v>
      </c>
      <c r="C55" s="7">
        <f t="shared" si="9"/>
        <v>0.85036833478995522</v>
      </c>
      <c r="D55" s="7">
        <f t="shared" si="10"/>
        <v>7.4999999999999956E-2</v>
      </c>
    </row>
    <row r="56" spans="1:4" x14ac:dyDescent="0.25">
      <c r="A56" s="1" t="s">
        <v>0</v>
      </c>
      <c r="B56" s="7">
        <v>0.80960322797372131</v>
      </c>
      <c r="C56" s="7">
        <f t="shared" si="9"/>
        <v>0.73460322797372135</v>
      </c>
      <c r="D56" s="7">
        <f t="shared" si="10"/>
        <v>7.4999999999999956E-2</v>
      </c>
    </row>
    <row r="57" spans="1:4" x14ac:dyDescent="0.25">
      <c r="A57" s="1" t="s">
        <v>18</v>
      </c>
      <c r="B57" s="7">
        <v>0.23121566317502223</v>
      </c>
      <c r="C57" s="7">
        <f t="shared" si="9"/>
        <v>0.15621566317502222</v>
      </c>
      <c r="D57" s="7">
        <f t="shared" si="10"/>
        <v>7.5000000000000011E-2</v>
      </c>
    </row>
    <row r="58" spans="1:4" x14ac:dyDescent="0.25">
      <c r="A58" s="1" t="s">
        <v>17</v>
      </c>
      <c r="B58" s="7">
        <v>0.91429844861651</v>
      </c>
      <c r="C58" s="7">
        <f t="shared" si="9"/>
        <v>0.83929844861651004</v>
      </c>
      <c r="D58" s="7">
        <f t="shared" si="10"/>
        <v>7.4999999999999956E-2</v>
      </c>
    </row>
    <row r="59" spans="1:4" x14ac:dyDescent="0.25">
      <c r="A59" s="1" t="s">
        <v>1</v>
      </c>
      <c r="B59" s="7">
        <v>0.83256488346093338</v>
      </c>
      <c r="C59" s="7">
        <f t="shared" si="9"/>
        <v>0.75756488346093342</v>
      </c>
      <c r="D59" s="7">
        <f t="shared" si="10"/>
        <v>7.4999999999999956E-2</v>
      </c>
    </row>
    <row r="60" spans="1:4" x14ac:dyDescent="0.25">
      <c r="A60" s="1" t="s">
        <v>10</v>
      </c>
      <c r="B60" s="7">
        <v>0.75</v>
      </c>
      <c r="C60" s="7">
        <f t="shared" si="9"/>
        <v>0.67500000000000004</v>
      </c>
      <c r="D60" s="7">
        <f t="shared" si="10"/>
        <v>7.4999999999999956E-2</v>
      </c>
    </row>
    <row r="61" spans="1:4" x14ac:dyDescent="0.25">
      <c r="A61" s="1" t="s">
        <v>14</v>
      </c>
      <c r="B61" s="7">
        <v>0.68</v>
      </c>
      <c r="C61" s="7">
        <f t="shared" si="9"/>
        <v>0.60500000000000009</v>
      </c>
      <c r="D61" s="7">
        <f t="shared" si="10"/>
        <v>7.4999999999999956E-2</v>
      </c>
    </row>
    <row r="62" spans="1:4" x14ac:dyDescent="0.25">
      <c r="A62" s="1" t="s">
        <v>2</v>
      </c>
      <c r="B62" s="7">
        <v>0.78</v>
      </c>
      <c r="C62" s="7">
        <f t="shared" si="9"/>
        <v>0.70500000000000007</v>
      </c>
      <c r="D62" s="7">
        <f t="shared" si="10"/>
        <v>7.4999999999999956E-2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S.B.Mousavi</dc:creator>
  <cp:lastModifiedBy>S.B.Mousavi</cp:lastModifiedBy>
  <dcterms:created xsi:type="dcterms:W3CDTF">2026-10-08T12:00:07Z</dcterms:created>
  <dcterms:modified xsi:type="dcterms:W3CDTF">2026-10-08T13:19:01Z</dcterms:modified>
</cp:coreProperties>
</file>